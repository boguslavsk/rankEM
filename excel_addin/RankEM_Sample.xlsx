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src\rankEM\excel_addin\"/>
    </mc:Choice>
  </mc:AlternateContent>
  <xr:revisionPtr revIDLastSave="0" documentId="8_{4C79E44C-356F-4C7A-BF06-677FADC09B04}" xr6:coauthVersionLast="47" xr6:coauthVersionMax="47" xr10:uidLastSave="{00000000-0000-0000-0000-000000000000}"/>
  <bookViews>
    <workbookView xWindow="-108" yWindow="-108" windowWidth="19416" windowHeight="11496" xr2:uid="{EA22B803-89D1-452E-82D4-797542E1249D}"/>
  </bookViews>
  <sheets>
    <sheet name="Scores" sheetId="1" r:id="rId1"/>
    <sheet name="Results" sheetId="2" r:id="rId2"/>
    <sheet name="Fun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8" i="3"/>
  <c r="C7" i="3"/>
  <c r="C6" i="3"/>
  <c r="C5" i="3"/>
  <c r="C4" i="3"/>
  <c r="B17" i="2"/>
  <c r="B11" i="2"/>
  <c r="B4" i="2"/>
</calcChain>
</file>

<file path=xl/sharedStrings.xml><?xml version="1.0" encoding="utf-8"?>
<sst xmlns="http://schemas.openxmlformats.org/spreadsheetml/2006/main" count="73" uniqueCount="70">
  <si>
    <t>RankEM Sample Data</t>
  </si>
  <si>
    <t>Problem</t>
  </si>
  <si>
    <t>P1</t>
  </si>
  <si>
    <t>P2</t>
  </si>
  <si>
    <t>P3</t>
  </si>
  <si>
    <t>P4</t>
  </si>
  <si>
    <t>P5</t>
  </si>
  <si>
    <t>P6</t>
  </si>
  <si>
    <t>P7</t>
  </si>
  <si>
    <t>P8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</si>
  <si>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</si>
  <si>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</si>
  <si>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</si>
  <si>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</si>
  <si>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</si>
  <si>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</si>
  <si>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</si>
  <si>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</si>
  <si>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</si>
  <si>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</si>
  <si>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</si>
  <si>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</si>
  <si>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</si>
  <si>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</si>
  <si>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</si>
  <si>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</si>
  <si>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</si>
  <si>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</si>
  <si>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</si>
  <si>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</si>
  <si>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Instructions:</t>
  </si>
  <si>
    <t>1. Ensure xlwings add-in is enabled (File → Options → Add-Ins)</t>
  </si>
  <si>
    <t>2. Go to xlwings tab → Import Functions</t>
  </si>
  <si>
    <t>3. Set UDF Modules to: rankEM_functions</t>
  </si>
  <si>
    <t>4. Set PYTHONPATH to: C:\Users\Michael\src\rankEM\excel_addin;C:\Users\Michael\src\rankEM</t>
  </si>
  <si>
    <t>5. See 'Results' and 'Functions' sheets for examples</t>
  </si>
  <si>
    <t>RankEM Results</t>
  </si>
  <si>
    <t>Student Rankings</t>
  </si>
  <si>
    <t>Formula:</t>
  </si>
  <si>
    <t>(Paste this formula in cell A7)</t>
  </si>
  <si>
    <t>Statistics</t>
  </si>
  <si>
    <t>Compare All Methods</t>
  </si>
  <si>
    <t>RankEM Function Reference</t>
  </si>
  <si>
    <t>Function</t>
  </si>
  <si>
    <t>Description</t>
  </si>
  <si>
    <t>Example</t>
  </si>
  <si>
    <t>RankEM_Theta(data, method, lambda)</t>
  </si>
  <si>
    <t>Student ability estimates (θ)</t>
  </si>
  <si>
    <t>RankEM_Beta(data, method, lambda)</t>
  </si>
  <si>
    <t>Problem difficulty estimates (β)</t>
  </si>
  <si>
    <t>RankEM_Imputed(data, method, lambda)</t>
  </si>
  <si>
    <t>Imputed score matrix</t>
  </si>
  <si>
    <t>RankEM_Stats(data, method, lambda)</t>
  </si>
  <si>
    <t>Summary statistics</t>
  </si>
  <si>
    <t>RankEM_Ranking(data, method, lambda)</t>
  </si>
  <si>
    <t>Ranked student list</t>
  </si>
  <si>
    <t>RankEM_AllMethods(data, lambda)</t>
  </si>
  <si>
    <t>Compare all methods</t>
  </si>
  <si>
    <t>RankEM_Version()</t>
  </si>
  <si>
    <t>Add-in version</t>
  </si>
  <si>
    <t>RankEM_Help()</t>
  </si>
  <si>
    <t>Help text</t>
  </si>
  <si>
    <t>Available Methods:</t>
  </si>
  <si>
    <t>Method</t>
  </si>
  <si>
    <t>em</t>
  </si>
  <si>
    <t>Regularized EM algorithm (recommended for biased missingness)</t>
  </si>
  <si>
    <t>mean_imputation</t>
  </si>
  <si>
    <t>Additive mean imputation (simple, fast)</t>
  </si>
  <si>
    <t>day_average</t>
  </si>
  <si>
    <t>Day-average rescaling (for block-missing patterns)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</si>
</sst>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91A8-5076-4DEB-9D62-22A7C8F76B67}">
  <dimension ref="A1:J30"/>
  <sheetViews>
    <sheetView tabSelected="1" workbookViewId="0"/>
  </sheetViews>
  <sheetFormatPr defaultRowHeight="14.4" x14ac:dyDescent="0.55000000000000004"/>
  <sheetData>
    <row r="1" spans="1:10" ht="18.3" x14ac:dyDescent="0.7">
      <c r="A1" s="2" t="s">
        <v>0</v>
      </c>
    </row>
    <row r="2" spans="1:10" x14ac:dyDescent="0.5500000000000000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55000000000000004">
      <c r="A3" t="s">
        <v>10</v>
      </c>
      <c r="C3" s="3">
        <v>4.7</v>
      </c>
      <c r="D3" s="3">
        <v>4.2</v>
      </c>
      <c r="E3" s="3"/>
      <c r="F3" s="3">
        <v>5.3</v>
      </c>
      <c r="G3" s="3">
        <v>4.2</v>
      </c>
      <c r="H3" s="3"/>
      <c r="I3" s="3"/>
      <c r="J3" s="3">
        <v>3.7</v>
      </c>
    </row>
    <row r="4" spans="1:10" x14ac:dyDescent="0.55000000000000004">
      <c r="A4" t="s">
        <v>11</v>
      </c>
      <c r="C4" s="3">
        <v>4.8</v>
      </c>
      <c r="D4" s="3">
        <v>2.2000000000000002</v>
      </c>
      <c r="E4" s="3">
        <v>2.8</v>
      </c>
      <c r="F4" s="3"/>
      <c r="G4" s="3">
        <v>4.2</v>
      </c>
      <c r="H4" s="3">
        <v>4.0999999999999996</v>
      </c>
      <c r="I4" s="3"/>
      <c r="J4" s="3">
        <v>3.8</v>
      </c>
    </row>
    <row r="5" spans="1:10" x14ac:dyDescent="0.55000000000000004">
      <c r="A5" t="s">
        <v>12</v>
      </c>
      <c r="C5" s="3">
        <v>4.2</v>
      </c>
      <c r="D5" s="3">
        <v>4</v>
      </c>
      <c r="E5" s="3">
        <v>4.3</v>
      </c>
      <c r="F5" s="3">
        <v>4.8</v>
      </c>
      <c r="G5" s="3">
        <v>4.7</v>
      </c>
      <c r="H5" s="3"/>
      <c r="I5" s="3">
        <v>4.3</v>
      </c>
      <c r="J5" s="3">
        <v>4.5</v>
      </c>
    </row>
    <row r="6" spans="1:10" x14ac:dyDescent="0.55000000000000004">
      <c r="A6" t="s">
        <v>13</v>
      </c>
      <c r="C6" s="3">
        <v>5.7</v>
      </c>
      <c r="D6" s="3">
        <v>5.9</v>
      </c>
      <c r="E6" s="3">
        <v>6</v>
      </c>
      <c r="F6" s="3">
        <v>5.6</v>
      </c>
      <c r="G6" s="3">
        <v>4.5999999999999996</v>
      </c>
      <c r="H6" s="3">
        <v>5.3</v>
      </c>
      <c r="I6" s="3">
        <v>5.2</v>
      </c>
      <c r="J6" s="3">
        <v>6</v>
      </c>
    </row>
    <row r="7" spans="1:10" x14ac:dyDescent="0.55000000000000004">
      <c r="A7" t="s">
        <v>14</v>
      </c>
      <c r="C7" s="3">
        <v>4.0999999999999996</v>
      </c>
      <c r="D7" s="3">
        <v>3.5</v>
      </c>
      <c r="E7" s="3">
        <v>2.9</v>
      </c>
      <c r="F7" s="3"/>
      <c r="G7" s="3">
        <v>4.0999999999999996</v>
      </c>
      <c r="H7" s="3"/>
      <c r="I7" s="3">
        <v>3.1</v>
      </c>
      <c r="J7" s="3">
        <v>4.8</v>
      </c>
    </row>
    <row r="8" spans="1:10" x14ac:dyDescent="0.55000000000000004">
      <c r="A8" t="s">
        <v>15</v>
      </c>
      <c r="C8" s="3"/>
      <c r="D8" s="3">
        <v>3.1</v>
      </c>
      <c r="E8" s="3"/>
      <c r="F8" s="3"/>
      <c r="G8" s="3">
        <v>3.5</v>
      </c>
      <c r="H8" s="3">
        <v>5.0999999999999996</v>
      </c>
      <c r="I8" s="3"/>
      <c r="J8" s="3">
        <v>4.5999999999999996</v>
      </c>
    </row>
    <row r="9" spans="1:10" x14ac:dyDescent="0.55000000000000004">
      <c r="A9" t="s">
        <v>16</v>
      </c>
      <c r="C9" s="3">
        <v>6</v>
      </c>
      <c r="D9" s="3"/>
      <c r="E9" s="3">
        <v>5.7</v>
      </c>
      <c r="F9" s="3"/>
      <c r="G9" s="3"/>
      <c r="H9" s="3">
        <v>5.9</v>
      </c>
      <c r="I9" s="3">
        <v>6</v>
      </c>
      <c r="J9" s="3">
        <v>5.4</v>
      </c>
    </row>
    <row r="10" spans="1:10" x14ac:dyDescent="0.55000000000000004">
      <c r="A10" t="s">
        <v>17</v>
      </c>
      <c r="C10" s="3">
        <v>4.9000000000000004</v>
      </c>
      <c r="D10" s="3">
        <v>4.3</v>
      </c>
      <c r="E10" s="3">
        <v>5.5</v>
      </c>
      <c r="F10" s="3"/>
      <c r="G10" s="3">
        <v>4.0999999999999996</v>
      </c>
      <c r="H10" s="3"/>
      <c r="I10" s="3">
        <v>4.3</v>
      </c>
      <c r="J10" s="3"/>
    </row>
    <row r="11" spans="1:10" x14ac:dyDescent="0.55000000000000004">
      <c r="A11" t="s">
        <v>18</v>
      </c>
      <c r="C11" s="3"/>
      <c r="D11" s="3">
        <v>3.2</v>
      </c>
      <c r="E11" s="3">
        <v>3.3</v>
      </c>
      <c r="F11" s="3">
        <v>1.6</v>
      </c>
      <c r="G11" s="3">
        <v>3.5</v>
      </c>
      <c r="H11" s="3"/>
      <c r="I11" s="3"/>
      <c r="J11" s="3"/>
    </row>
    <row r="12" spans="1:10" x14ac:dyDescent="0.55000000000000004">
      <c r="A12" t="s">
        <v>19</v>
      </c>
      <c r="C12" s="3">
        <v>4.0999999999999996</v>
      </c>
      <c r="D12" s="3">
        <v>4.0999999999999996</v>
      </c>
      <c r="E12" s="3">
        <v>4.3</v>
      </c>
      <c r="F12" s="3"/>
      <c r="G12" s="3">
        <v>4.0999999999999996</v>
      </c>
      <c r="H12" s="3">
        <v>4.9000000000000004</v>
      </c>
      <c r="I12" s="3">
        <v>5.5</v>
      </c>
      <c r="J12" s="3">
        <v>4.9000000000000004</v>
      </c>
    </row>
    <row r="13" spans="1:10" x14ac:dyDescent="0.55000000000000004">
      <c r="A13" t="s">
        <v>20</v>
      </c>
      <c r="C13" s="3">
        <v>4.5</v>
      </c>
      <c r="D13" s="3"/>
      <c r="E13" s="3">
        <v>2</v>
      </c>
      <c r="F13" s="3">
        <v>2.8</v>
      </c>
      <c r="G13" s="3"/>
      <c r="H13" s="3"/>
      <c r="I13" s="3"/>
      <c r="J13" s="3"/>
    </row>
    <row r="14" spans="1:10" x14ac:dyDescent="0.55000000000000004">
      <c r="A14" t="s">
        <v>21</v>
      </c>
      <c r="C14" s="3">
        <v>4.2</v>
      </c>
      <c r="D14" s="3">
        <v>2.5</v>
      </c>
      <c r="E14" s="3">
        <v>4.5</v>
      </c>
      <c r="F14" s="3"/>
      <c r="G14" s="3">
        <v>3.9</v>
      </c>
      <c r="H14" s="3">
        <v>2.9</v>
      </c>
      <c r="I14" s="3"/>
      <c r="J14" s="3">
        <v>2.6</v>
      </c>
    </row>
    <row r="15" spans="1:10" x14ac:dyDescent="0.55000000000000004">
      <c r="A15" t="s">
        <v>22</v>
      </c>
      <c r="C15" s="3">
        <v>5.4</v>
      </c>
      <c r="D15" s="3">
        <v>5.9</v>
      </c>
      <c r="E15" s="3">
        <v>3.5</v>
      </c>
      <c r="F15" s="3"/>
      <c r="G15" s="3">
        <v>4</v>
      </c>
      <c r="H15" s="3">
        <v>3.9</v>
      </c>
      <c r="I15" s="3">
        <v>2.4</v>
      </c>
      <c r="J15" s="3">
        <v>4.5</v>
      </c>
    </row>
    <row r="16" spans="1:10" x14ac:dyDescent="0.55000000000000004">
      <c r="A16" t="s">
        <v>23</v>
      </c>
      <c r="C16" s="3">
        <v>2</v>
      </c>
      <c r="D16" s="3"/>
      <c r="E16" s="3"/>
      <c r="F16" s="3">
        <v>2.6</v>
      </c>
      <c r="G16" s="3"/>
      <c r="H16" s="3">
        <v>1.9</v>
      </c>
      <c r="I16" s="3">
        <v>2.2000000000000002</v>
      </c>
      <c r="J16" s="3">
        <v>1.3</v>
      </c>
    </row>
    <row r="17" spans="1:10" x14ac:dyDescent="0.55000000000000004">
      <c r="A17" t="s">
        <v>24</v>
      </c>
      <c r="C17" s="3">
        <v>3.2</v>
      </c>
      <c r="D17" s="3">
        <v>3.2</v>
      </c>
      <c r="E17" s="3">
        <v>1</v>
      </c>
      <c r="F17" s="3">
        <v>1.7</v>
      </c>
      <c r="G17" s="3">
        <v>2.2000000000000002</v>
      </c>
      <c r="H17" s="3">
        <v>3</v>
      </c>
      <c r="I17" s="3">
        <v>0.7</v>
      </c>
      <c r="J17" s="3">
        <v>1.4</v>
      </c>
    </row>
    <row r="18" spans="1:10" x14ac:dyDescent="0.55000000000000004">
      <c r="A18" t="s">
        <v>25</v>
      </c>
      <c r="C18" s="3"/>
      <c r="D18" s="3"/>
      <c r="E18" s="3"/>
      <c r="F18" s="3"/>
      <c r="G18" s="3"/>
      <c r="H18" s="3">
        <v>3.7</v>
      </c>
      <c r="I18" s="3"/>
      <c r="J18" s="3"/>
    </row>
    <row r="19" spans="1:10" x14ac:dyDescent="0.55000000000000004">
      <c r="A19" t="s">
        <v>26</v>
      </c>
      <c r="C19" s="3">
        <v>5.2</v>
      </c>
      <c r="D19" s="3"/>
      <c r="E19" s="3">
        <v>2.1</v>
      </c>
      <c r="F19" s="3"/>
      <c r="G19" s="3"/>
      <c r="H19" s="3">
        <v>3.7</v>
      </c>
      <c r="I19" s="3">
        <v>3.3</v>
      </c>
      <c r="J19" s="3">
        <v>2.5</v>
      </c>
    </row>
    <row r="20" spans="1:10" x14ac:dyDescent="0.55000000000000004">
      <c r="A20" t="s">
        <v>27</v>
      </c>
      <c r="C20" s="3">
        <v>5.8</v>
      </c>
      <c r="D20" s="3">
        <v>4.5</v>
      </c>
      <c r="E20" s="3"/>
      <c r="F20" s="3"/>
      <c r="G20" s="3">
        <v>3.8</v>
      </c>
      <c r="H20" s="3">
        <v>3.8</v>
      </c>
      <c r="I20" s="3">
        <v>3</v>
      </c>
      <c r="J20" s="3">
        <v>3.8</v>
      </c>
    </row>
    <row r="21" spans="1:10" x14ac:dyDescent="0.55000000000000004">
      <c r="A21" t="s">
        <v>28</v>
      </c>
      <c r="C21" s="3">
        <v>3.8</v>
      </c>
      <c r="D21" s="3">
        <v>3.3</v>
      </c>
      <c r="E21" s="3">
        <v>3.3</v>
      </c>
      <c r="F21" s="3">
        <v>3</v>
      </c>
      <c r="G21" s="3">
        <v>2.8</v>
      </c>
      <c r="H21" s="3">
        <v>4.3</v>
      </c>
      <c r="I21" s="3">
        <v>2.2999999999999998</v>
      </c>
      <c r="J21" s="3">
        <v>5.5</v>
      </c>
    </row>
    <row r="22" spans="1:10" x14ac:dyDescent="0.55000000000000004">
      <c r="A22" t="s">
        <v>29</v>
      </c>
      <c r="C22" s="3"/>
      <c r="D22" s="3">
        <v>1.8</v>
      </c>
      <c r="E22" s="3">
        <v>1.8</v>
      </c>
      <c r="F22" s="3">
        <v>2.2999999999999998</v>
      </c>
      <c r="G22" s="3"/>
      <c r="H22" s="3">
        <v>3.2</v>
      </c>
      <c r="I22" s="3">
        <v>2.4</v>
      </c>
      <c r="J22" s="3"/>
    </row>
    <row r="25" spans="1:10" x14ac:dyDescent="0.55000000000000004">
      <c r="A25" s="1" t="s">
        <v>30</v>
      </c>
    </row>
    <row r="26" spans="1:10" x14ac:dyDescent="0.55000000000000004">
      <c r="A26" t="s">
        <v>31</v>
      </c>
    </row>
    <row r="27" spans="1:10" x14ac:dyDescent="0.55000000000000004">
      <c r="A27" t="s">
        <v>32</v>
      </c>
    </row>
    <row r="28" spans="1:10" x14ac:dyDescent="0.55000000000000004">
      <c r="A28" t="s">
        <v>33</v>
      </c>
    </row>
    <row r="29" spans="1:10" x14ac:dyDescent="0.55000000000000004">
      <c r="A29" t="s">
        <v>34</v>
      </c>
    </row>
    <row r="30" spans="1:10" x14ac:dyDescent="0.55000000000000004">
      <c r="A3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06B4-8B26-45E1-A7C5-14CAD87B1CE3}">
  <dimension ref="A1:B17"/>
  <sheetViews>
    <sheetView workbookViewId="0"/>
  </sheetViews>
  <sheetFormatPr defaultRowHeight="14.4" x14ac:dyDescent="0.55000000000000004"/>
  <sheetData>
    <row r="1" spans="1:2" ht="18.3" x14ac:dyDescent="0.7">
      <c r="A1" s="2" t="s">
        <v>36</v>
      </c>
    </row>
    <row r="3" spans="1:2" x14ac:dyDescent="0.55000000000000004">
      <c r="A3" s="1" t="s">
        <v>37</v>
      </c>
    </row>
    <row r="4" spans="1:2" x14ac:dyDescent="0.55000000000000004">
      <c r="A4" t="s">
        <v>38</v>
      </c>
      <c r="B4" t="e">
        <f ca="1">RankEM_Ranking(Scores!$C$3:$J$22, "em", 1)</f>
        <v>#NAME?</v>
      </c>
    </row>
    <row r="5" spans="1:2" x14ac:dyDescent="0.55000000000000004">
      <c r="A5" t="s">
        <v>39</v>
      </c>
    </row>
    <row r="10" spans="1:2" x14ac:dyDescent="0.55000000000000004">
      <c r="A10" s="1" t="s">
        <v>40</v>
      </c>
    </row>
    <row r="11" spans="1:2" x14ac:dyDescent="0.55000000000000004">
      <c r="A11" t="s">
        <v>38</v>
      </c>
      <c r="B11" t="e">
        <f ca="1">RankEM_Stats(Scores!$C$3:$J$22, "em")</f>
        <v>#NAME?</v>
      </c>
    </row>
    <row r="16" spans="1:2" x14ac:dyDescent="0.55000000000000004">
      <c r="A16" s="1" t="s">
        <v>41</v>
      </c>
    </row>
    <row r="17" spans="1:2" x14ac:dyDescent="0.55000000000000004">
      <c r="A17" t="s">
        <v>38</v>
      </c>
      <c r="B17" t="e">
        <f ca="1">RankEM_AllMethods(Scores!$C$3:$J$22)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A513-EE81-4C3A-92B1-8A8BCB43C252}">
  <dimension ref="A1:C17"/>
  <sheetViews>
    <sheetView workbookViewId="0"/>
  </sheetViews>
  <sheetFormatPr defaultRowHeight="14.4" x14ac:dyDescent="0.55000000000000004"/>
  <sheetData>
    <row r="1" spans="1:3" ht="18.3" x14ac:dyDescent="0.7">
      <c r="A1" s="2" t="s">
        <v>42</v>
      </c>
    </row>
    <row r="3" spans="1:3" x14ac:dyDescent="0.55000000000000004">
      <c r="A3" s="1" t="s">
        <v>43</v>
      </c>
      <c r="B3" s="1" t="s">
        <v>44</v>
      </c>
      <c r="C3" s="1" t="s">
        <v>45</v>
      </c>
    </row>
    <row r="4" spans="1:3" x14ac:dyDescent="0.55000000000000004">
      <c r="A4" t="s">
        <v>46</v>
      </c>
      <c r="B4" t="s">
        <v>47</v>
      </c>
      <c r="C4" t="e">
        <f ca="1">RankEM_Theta(A1:H20, "em", 1)</f>
        <v>#NAME?</v>
      </c>
    </row>
    <row r="5" spans="1:3" x14ac:dyDescent="0.55000000000000004">
      <c r="A5" t="s">
        <v>48</v>
      </c>
      <c r="B5" t="s">
        <v>49</v>
      </c>
      <c r="C5" t="e">
        <f ca="1">RankEM_Beta(A1:H20, "em", 1)</f>
        <v>#NAME?</v>
      </c>
    </row>
    <row r="6" spans="1:3" x14ac:dyDescent="0.55000000000000004">
      <c r="A6" t="s">
        <v>50</v>
      </c>
      <c r="B6" t="s">
        <v>51</v>
      </c>
      <c r="C6" t="e">
        <f ca="1">RankEM_Imputed(A1:H20, "em")</f>
        <v>#NAME?</v>
      </c>
    </row>
    <row r="7" spans="1:3" x14ac:dyDescent="0.55000000000000004">
      <c r="A7" t="s">
        <v>52</v>
      </c>
      <c r="B7" t="s">
        <v>53</v>
      </c>
      <c r="C7" t="e">
        <f ca="1">RankEM_Stats(A1:H20)</f>
        <v>#NAME?</v>
      </c>
    </row>
    <row r="8" spans="1:3" x14ac:dyDescent="0.55000000000000004">
      <c r="A8" t="s">
        <v>54</v>
      </c>
      <c r="B8" t="s">
        <v>55</v>
      </c>
      <c r="C8" t="e">
        <f ca="1">RankEM_Ranking(A1:H20)</f>
        <v>#NAME?</v>
      </c>
    </row>
    <row r="9" spans="1:3" x14ac:dyDescent="0.55000000000000004">
      <c r="A9" t="s">
        <v>56</v>
      </c>
      <c r="B9" t="s">
        <v>57</v>
      </c>
      <c r="C9" t="e">
        <f ca="1">RankEM_AllMethods(A1:H20)</f>
        <v>#NAME?</v>
      </c>
    </row>
    <row r="10" spans="1:3" x14ac:dyDescent="0.55000000000000004">
      <c r="A10" t="s">
        <v>58</v>
      </c>
      <c r="B10" t="s">
        <v>59</v>
      </c>
      <c r="C10" t="e">
        <f ca="1">RankEM_Version()</f>
        <v>#NAME?</v>
      </c>
    </row>
    <row r="11" spans="1:3" x14ac:dyDescent="0.55000000000000004">
      <c r="A11" t="s">
        <v>60</v>
      </c>
      <c r="B11" t="s">
        <v>61</v>
      </c>
      <c r="C11" t="e">
        <f ca="1">RankEM_Help()</f>
        <v>#NAME?</v>
      </c>
    </row>
    <row r="13" spans="1:3" x14ac:dyDescent="0.55000000000000004">
      <c r="A13" s="1" t="s">
        <v>62</v>
      </c>
    </row>
    <row r="14" spans="1:3" x14ac:dyDescent="0.55000000000000004">
      <c r="A14" s="1" t="s">
        <v>63</v>
      </c>
      <c r="B14" s="1" t="s">
        <v>44</v>
      </c>
    </row>
    <row r="15" spans="1:3" x14ac:dyDescent="0.55000000000000004">
      <c r="A15" t="s">
        <v>64</v>
      </c>
      <c r="B15" t="s">
        <v>65</v>
      </c>
    </row>
    <row r="16" spans="1:3" x14ac:dyDescent="0.55000000000000004">
      <c r="A16" t="s">
        <v>66</v>
      </c>
      <c r="B16" t="s">
        <v>67</v>
      </c>
    </row>
    <row r="17" spans="1:2" x14ac:dyDescent="0.55000000000000004">
      <c r="A17" t="s">
        <v>68</v>
      </c>
      <c r="B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Scores</vt:lpstr>
      <vt:lpstr>Results</vt:lpstr>
      <vt:lpstr>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 Lear Exp</dc:creator>
  <cp:lastModifiedBy>Machi Lear Exp</cp:lastModifiedBy>
  <dcterms:created xsi:type="dcterms:W3CDTF">2026-02-01T21:14:07Z</dcterms:created>
  <dcterms:modified xsi:type="dcterms:W3CDTF">2026-02-01T21:14:08Z</dcterms:modified>
</cp:coreProperties>
</file>